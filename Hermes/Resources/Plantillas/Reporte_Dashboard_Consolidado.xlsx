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Estados" sheetId="2" r:id="rId2"/>
    <sheet name="Prioridades" sheetId="3" r:id="rId3"/>
    <sheet name="Top3" sheetId="4" r:id="rId4"/>
    <sheet name="Análisis" sheetId="5" r:id="rId5"/>
  </sheets>
  <calcPr calcId="124519" fullCalcOnLoad="1"/>
</workbook>
</file>

<file path=xl/sharedStrings.xml><?xml version="1.0" encoding="utf-8"?>
<sst xmlns="http://schemas.openxmlformats.org/spreadsheetml/2006/main" count="66" uniqueCount="52">
  <si>
    <t>DASHBOARD DE GESTIÓN DE TAREAS</t>
  </si>
  <si>
    <t>Reporte generado: 15/11/2025 00:04</t>
  </si>
  <si>
    <t>KPIs PRINCIPALES</t>
  </si>
  <si>
    <t>TOTAL TAREAS</t>
  </si>
  <si>
    <t>COMPLETADAS</t>
  </si>
  <si>
    <t>PENDIENTES</t>
  </si>
  <si>
    <t>VENCIDAS</t>
  </si>
  <si>
    <t>DISTRIBUCIÓN POR PRIORIDAD</t>
  </si>
  <si>
    <t>Prioridad</t>
  </si>
  <si>
    <t>Cantidad</t>
  </si>
  <si>
    <t>Porcentaje</t>
  </si>
  <si>
    <t>Alta</t>
  </si>
  <si>
    <t>Media</t>
  </si>
  <si>
    <t>Baja</t>
  </si>
  <si>
    <t>TOTAL</t>
  </si>
  <si>
    <t>TOP 3 USUARIOS MÁS PRODUCTIVOS</t>
  </si>
  <si>
    <t>Ranking</t>
  </si>
  <si>
    <t>Usuario</t>
  </si>
  <si>
    <t>Asignadas</t>
  </si>
  <si>
    <t>Finalizadas</t>
  </si>
  <si>
    <t>🥇 1°</t>
  </si>
  <si>
    <t>🥈 2°</t>
  </si>
  <si>
    <t>🥉 3°</t>
  </si>
  <si>
    <t>Estado</t>
  </si>
  <si>
    <t>Pendiente</t>
  </si>
  <si>
    <t>Completado</t>
  </si>
  <si>
    <t>Vencido</t>
  </si>
  <si>
    <t>100%</t>
  </si>
  <si>
    <t>Tareas Asignadas</t>
  </si>
  <si>
    <t>Tareas Finalizadas</t>
  </si>
  <si>
    <t>Eficiencia (%)</t>
  </si>
  <si>
    <t>Tilin insano</t>
  </si>
  <si>
    <t>chucho chucharizard</t>
  </si>
  <si>
    <t>Administrador Sistema</t>
  </si>
  <si>
    <t>ANÁLISIS DETALLADO DE MÉTRICAS</t>
  </si>
  <si>
    <t>MÉTRICAS DE RENDIMIENTO</t>
  </si>
  <si>
    <t>Métrica</t>
  </si>
  <si>
    <t>Valor</t>
  </si>
  <si>
    <t>Meta</t>
  </si>
  <si>
    <t>Diferencia</t>
  </si>
  <si>
    <t>Tasa de Completitud</t>
  </si>
  <si>
    <t>Tasa de Vencimiento</t>
  </si>
  <si>
    <t>Productividad Promedio</t>
  </si>
  <si>
    <t>Tareas Alta Prioridad</t>
  </si>
  <si>
    <t>DATOS DE TENDENCIA</t>
  </si>
  <si>
    <t>Semana</t>
  </si>
  <si>
    <t>Completadas</t>
  </si>
  <si>
    <t>Pendientes</t>
  </si>
  <si>
    <t>Sem 1</t>
  </si>
  <si>
    <t>Sem 2</t>
  </si>
  <si>
    <t>Sem 3</t>
  </si>
  <si>
    <t>Sem 4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</si>
</sst>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%"/>
  </numFmts>
  <fonts count="8">
    <font>
      <sz val="11"/>
      <color theme="1"/>
      <name val="Calibri"/>
      <family val="2"/>
      <scheme val="minor"/>
    </font>
    <font>
      <b/>
      <sz val="24"/>
      <color rgb="FF2D3436"/>
      <name val="Calibri"/>
      <family val="2"/>
      <scheme val="minor"/>
    </font>
    <font>
      <b/>
      <sz val="14"/>
      <color rgb="FF2E86AB"/>
      <name val="Calibri"/>
      <family val="2"/>
      <scheme val="minor"/>
    </font>
    <font>
      <b/>
      <sz val="10"/>
      <color rgb="FF2D3436"/>
      <name val="Calibri"/>
      <family val="2"/>
      <scheme val="minor"/>
    </font>
    <font>
      <b/>
      <sz val="36"/>
      <color rgb="FF2E86AB"/>
      <name val="Calibri"/>
      <family val="2"/>
      <scheme val="minor"/>
    </font>
    <font>
      <sz val="12"/>
      <color rgb="FFA23B72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E86AB"/>
        <bgColor indexed="64"/>
      </patternFill>
    </fill>
    <fill>
      <patternFill patternType="solid">
        <fgColor rgb="FFF5F5F5"/>
        <bgColor indexed="64"/>
      </patternFill>
    </fill>
  </fills>
  <borders count="4">
    <border>
      <left/>
      <right/>
      <top/>
      <bottom/>
      <diagonal/>
    </border>
    <border>
      <left style="thin">
        <color rgb="FF2E86AB"/>
      </left>
      <right style="thin">
        <color rgb="FF2E86AB"/>
      </right>
      <top style="thin">
        <color rgb="FF2E86AB"/>
      </top>
      <bottom style="thin">
        <color rgb="FF2E86AB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medium">
        <color rgb="FF2E86AB"/>
      </left>
      <right style="medium">
        <color rgb="FF2E86AB"/>
      </right>
      <top style="medium">
        <color rgb="FF2E86AB"/>
      </top>
      <bottom style="medium">
        <color rgb="FF2E86AB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164" fontId="4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top"/>
    </xf>
    <xf numFmtId="0" fontId="6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164" fontId="7" fillId="3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2D3436"/>
                </a:solidFill>
              </a:defRPr>
            </a:pPr>
            <a:r>
              <a:rPr lang="en-US" sz="1400" b="1" baseline="0">
                <a:solidFill>
                  <a:srgbClr val="2D3436"/>
                </a:solidFill>
              </a:rPr>
              <a:t>Distribución de Estados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Estados</c:v>
          </c:tx>
          <c:dPt>
            <c:idx val="0"/>
            <c:spPr>
              <a:solidFill>
                <a:srgbClr val="F18F01"/>
              </a:solidFill>
            </c:spPr>
          </c:dPt>
          <c:dPt>
            <c:idx val="1"/>
            <c:spPr>
              <a:solidFill>
                <a:srgbClr val="62C370"/>
              </a:solidFill>
            </c:spPr>
          </c:dPt>
          <c:dPt>
            <c:idx val="2"/>
            <c:spPr>
              <a:solidFill>
                <a:srgbClr val="C73E1D"/>
              </a:solidFill>
            </c:spPr>
          </c:dPt>
          <c:dLbls>
            <c:txPr>
              <a:bodyPr/>
              <a:lstStyle/>
              <a:p>
                <a:pPr>
                  <a:defRPr sz="1000" b="1" baseline="0"/>
                </a:pPr>
                <a:endParaRPr lang="en-US"/>
              </a:p>
            </c:txPr>
            <c:showVal val="1"/>
            <c:showCatName val="1"/>
            <c:showPercent val="1"/>
          </c:dLbls>
          <c:cat>
            <c:strRef>
              <c:f>Estados!$A$2:$A$4</c:f>
              <c:strCache>
                <c:ptCount val="3"/>
                <c:pt idx="0">
                  <c:v>Pendiente</c:v>
                </c:pt>
                <c:pt idx="1">
                  <c:v>Completado</c:v>
                </c:pt>
                <c:pt idx="2">
                  <c:v>Vencido</c:v>
                </c:pt>
              </c:strCache>
            </c:strRef>
          </c:cat>
          <c:val>
            <c:numRef>
              <c:f>Estados!$B$2:$B$4</c:f>
              <c:numCache>
                <c:formatCode>General</c:formatCode>
                <c:ptCount val="3"/>
                <c:pt idx="0">
                  <c:v>2</c:v>
                </c:pt>
                <c:pt idx="1">
                  <c:v>5</c:v>
                </c:pt>
                <c:pt idx="2">
                  <c:v>1</c:v>
                </c:pt>
              </c:numCache>
            </c:numRef>
          </c:val>
        </c:ser>
        <c:firstSliceAng val="0"/>
        <c:holeSize val="60"/>
      </c:doughnut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2D3436"/>
                </a:solidFill>
              </a:defRPr>
            </a:pPr>
            <a:r>
              <a:rPr lang="en-US" sz="1400" b="1" baseline="0">
                <a:solidFill>
                  <a:srgbClr val="2D3436"/>
                </a:solidFill>
              </a:rPr>
              <a:t>Tareas por Prioridad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Tareas por Prioridad</c:v>
          </c:tx>
          <c:spPr>
            <a:gradFill>
              <a:gsLst>
                <a:gs pos="0">
                  <a:srgbClr val="C73E1D"/>
                </a:gs>
                <a:gs pos="50000">
                  <a:srgbClr val="F18F01"/>
                </a:gs>
                <a:gs pos="100000">
                  <a:srgbClr val="62C370"/>
                </a:gs>
              </a:gsLst>
              <a:lin ang="5400000" scaled="0"/>
            </a:gradFill>
          </c:spPr>
          <c:dLbls>
            <c:showVal val="1"/>
          </c:dLbls>
          <c:cat>
            <c:strRef>
              <c:f>Prioridades!$A$2:$A$4</c:f>
              <c:strCache>
                <c:ptCount val="3"/>
                <c:pt idx="0">
                  <c:v>Alta</c:v>
                </c:pt>
                <c:pt idx="1">
                  <c:v>Media</c:v>
                </c:pt>
                <c:pt idx="2">
                  <c:v>Baja</c:v>
                </c:pt>
              </c:strCache>
            </c:strRef>
          </c:cat>
          <c:val>
            <c:numRef>
              <c:f>Prioridades!$B$2:$B$4</c:f>
              <c:numCache>
                <c:formatCode>General</c:formatCode>
                <c:ptCount val="3"/>
                <c:pt idx="0">
                  <c:v>3</c:v>
                </c:pt>
                <c:pt idx="1">
                  <c:v>4</c:v>
                </c:pt>
                <c:pt idx="2">
                  <c:v>1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Prioridad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Cantidad de Tareas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2D3436"/>
                </a:solidFill>
              </a:defRPr>
            </a:pPr>
            <a:r>
              <a:rPr lang="en-US" sz="1400" b="1" baseline="0">
                <a:solidFill>
                  <a:srgbClr val="2D3436"/>
                </a:solidFill>
              </a:rPr>
              <a:t>Top 3 Usuarios - Productividad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Tareas Asignadas</c:v>
          </c:tx>
          <c:spPr>
            <a:solidFill>
              <a:srgbClr val="2E86AB"/>
            </a:solidFill>
          </c:spPr>
          <c:dLbls>
            <c:showVal val="1"/>
          </c:dLbls>
          <c:cat>
            <c:strRef>
              <c:f>Top3!$A$2:$A$4</c:f>
              <c:strCache>
                <c:ptCount val="3"/>
                <c:pt idx="0">
                  <c:v>Tilin insano</c:v>
                </c:pt>
                <c:pt idx="1">
                  <c:v>chucho chucharizard</c:v>
                </c:pt>
                <c:pt idx="2">
                  <c:v>Administrador Sistema</c:v>
                </c:pt>
              </c:strCache>
            </c:strRef>
          </c:cat>
          <c:val>
            <c:numRef>
              <c:f>Top3!$B$2:$B$4</c:f>
              <c:numCache>
                <c:formatCode>General</c:formatCode>
                <c:ptCount val="3"/>
                <c:pt idx="0">
                  <c:v>10</c:v>
                </c:pt>
                <c:pt idx="1">
                  <c:v>5</c:v>
                </c:pt>
                <c:pt idx="2">
                  <c:v>3</c:v>
                </c:pt>
              </c:numCache>
            </c:numRef>
          </c:val>
        </c:ser>
        <c:ser>
          <c:idx val="1"/>
          <c:order val="1"/>
          <c:tx>
            <c:v>Tareas Finalizadas</c:v>
          </c:tx>
          <c:spPr>
            <a:solidFill>
              <a:srgbClr val="62C370"/>
            </a:solidFill>
          </c:spPr>
          <c:dLbls>
            <c:showVal val="1"/>
          </c:dLbls>
          <c:cat>
            <c:strRef>
              <c:f>Top3!$A$2:$A$4</c:f>
              <c:strCache>
                <c:ptCount val="3"/>
                <c:pt idx="0">
                  <c:v>Tilin insano</c:v>
                </c:pt>
                <c:pt idx="1">
                  <c:v>chucho chucharizard</c:v>
                </c:pt>
                <c:pt idx="2">
                  <c:v>Administrador Sistema</c:v>
                </c:pt>
              </c:strCache>
            </c:strRef>
          </c:cat>
          <c:val>
            <c:numRef>
              <c:f>Top3!$C$2:$C$4</c:f>
              <c:numCache>
                <c:formatCode>General</c:formatCode>
                <c:ptCount val="3"/>
                <c:pt idx="0">
                  <c:v>7</c:v>
                </c:pt>
                <c:pt idx="1">
                  <c:v>4</c:v>
                </c:pt>
                <c:pt idx="2">
                  <c:v>2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l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Cantidad de Tareas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2D3436"/>
                </a:solidFill>
              </a:defRPr>
            </a:pPr>
            <a:r>
              <a:rPr lang="en-US" sz="1400" b="1" baseline="0">
                <a:solidFill>
                  <a:srgbClr val="2D3436"/>
                </a:solidFill>
              </a:rPr>
              <a:t>Eficiencia por Usuario</a:t>
            </a:r>
          </a:p>
        </c:rich>
      </c:tx>
      <c:layout/>
    </c:title>
    <c:plotArea>
      <c:layout/>
      <c:areaChart>
        <c:grouping val="stacked"/>
        <c:ser>
          <c:idx val="0"/>
          <c:order val="0"/>
          <c:tx>
            <c:v>Eficiencia Real</c:v>
          </c:tx>
          <c:spPr>
            <a:solidFill>
              <a:srgbClr val="62C370">
                <a:alpha val="70000"/>
              </a:srgbClr>
            </a:solidFill>
            <a:ln w="25400">
              <a:solidFill>
                <a:srgbClr val="62C370"/>
              </a:solidFill>
            </a:ln>
          </c:spPr>
          <c:cat>
            <c:strRef>
              <c:f>Dashboard!$F$16:$F$18</c:f>
              <c:strCache>
                <c:ptCount val="3"/>
                <c:pt idx="0">
                  <c:v>🥇 1°</c:v>
                </c:pt>
                <c:pt idx="1">
                  <c:v>🥈 2°</c:v>
                </c:pt>
                <c:pt idx="2">
                  <c:v>🥉 3°</c:v>
                </c:pt>
              </c:strCache>
            </c:strRef>
          </c:cat>
          <c:val>
            <c:numRef>
              <c:f>Dashboard!$I$16:$I$18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v>Tareas Asignadas</c:v>
          </c:tx>
          <c:spPr>
            <a:solidFill>
              <a:srgbClr val="2E86AB">
                <a:alpha val="50000"/>
              </a:srgbClr>
            </a:solidFill>
            <a:ln w="25400">
              <a:solidFill>
                <a:srgbClr val="2E86AB"/>
              </a:solidFill>
            </a:ln>
          </c:spPr>
          <c:cat>
            <c:strRef>
              <c:f>Dashboard!$F$16:$F$18</c:f>
              <c:strCache>
                <c:ptCount val="3"/>
                <c:pt idx="0">
                  <c:v>🥇 1°</c:v>
                </c:pt>
                <c:pt idx="1">
                  <c:v>🥈 2°</c:v>
                </c:pt>
                <c:pt idx="2">
                  <c:v>🥉 3°</c:v>
                </c:pt>
              </c:strCache>
            </c:strRef>
          </c:cat>
          <c:val>
            <c:numRef>
              <c:f>Dashboard!$H$16:$H$18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40001"/>
        <c:axId val="50040002"/>
      </c:areaChart>
      <c:catAx>
        <c:axId val="500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Ranking</a:t>
                </a:r>
              </a:p>
            </c:rich>
          </c:tx>
          <c:layout/>
        </c:title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Tareas</a:t>
                </a:r>
              </a:p>
            </c:rich>
          </c:tx>
          <c:layout/>
        </c:title>
        <c:numFmt formatCode="General" sourceLinked="1"/>
        <c:tickLblPos val="nextTo"/>
        <c:crossAx val="5004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2D3436"/>
                </a:solidFill>
              </a:defRPr>
            </a:pPr>
            <a:r>
              <a:rPr lang="en-US" sz="1400" b="1" baseline="0">
                <a:solidFill>
                  <a:srgbClr val="2D3436"/>
                </a:solidFill>
              </a:rPr>
              <a:t>Tendencia Semanal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Tareas Completadas</c:v>
          </c:tx>
          <c:spPr>
            <a:ln w="25400">
              <a:solidFill>
                <a:srgbClr val="62C370"/>
              </a:solidFill>
            </a:ln>
          </c:spPr>
          <c:marker>
            <c:symbol val="circle"/>
            <c:size val="8"/>
            <c:spPr>
              <a:solidFill>
                <a:srgbClr val="62C370"/>
              </a:solidFill>
            </c:spPr>
          </c:marker>
          <c:cat>
            <c:strRef>
              <c:f>Análisis!$H$8:$H$11</c:f>
              <c:strCache>
                <c:ptCount val="4"/>
                <c:pt idx="0">
                  <c:v>Sem 1</c:v>
                </c:pt>
                <c:pt idx="1">
                  <c:v>Sem 2</c:v>
                </c:pt>
                <c:pt idx="2">
                  <c:v>Sem 3</c:v>
                </c:pt>
                <c:pt idx="3">
                  <c:v>Sem 4</c:v>
                </c:pt>
              </c:strCache>
            </c:strRef>
          </c:cat>
          <c:val>
            <c:numRef>
              <c:f>Análisis!$I$8:$I$11</c:f>
              <c:numCache>
                <c:formatCode>General</c:formatCode>
                <c:ptCount val="4"/>
                <c:pt idx="0">
                  <c:v>3</c:v>
                </c:pt>
                <c:pt idx="1">
                  <c:v>5</c:v>
                </c:pt>
                <c:pt idx="2">
                  <c:v>4</c:v>
                </c:pt>
                <c:pt idx="3">
                  <c:v>5</c:v>
                </c:pt>
              </c:numCache>
            </c:numRef>
          </c:val>
        </c:ser>
        <c:ser>
          <c:idx val="1"/>
          <c:order val="1"/>
          <c:tx>
            <c:v>Tareas Pendientes</c:v>
          </c:tx>
          <c:spPr>
            <a:ln w="25400">
              <a:solidFill>
                <a:srgbClr val="F18F01"/>
              </a:solidFill>
            </a:ln>
          </c:spPr>
          <c:marker>
            <c:symbol val="square"/>
            <c:size val="8"/>
            <c:spPr>
              <a:solidFill>
                <a:srgbClr val="F18F01"/>
              </a:solidFill>
            </c:spPr>
          </c:marker>
          <c:cat>
            <c:strRef>
              <c:f>Análisis!$H$8:$H$11</c:f>
              <c:strCache>
                <c:ptCount val="4"/>
                <c:pt idx="0">
                  <c:v>Sem 1</c:v>
                </c:pt>
                <c:pt idx="1">
                  <c:v>Sem 2</c:v>
                </c:pt>
                <c:pt idx="2">
                  <c:v>Sem 3</c:v>
                </c:pt>
                <c:pt idx="3">
                  <c:v>Sem 4</c:v>
                </c:pt>
              </c:strCache>
            </c:strRef>
          </c:cat>
          <c:val>
            <c:numRef>
              <c:f>Análisis!$J$8:$J$11</c:f>
              <c:numCache>
                <c:formatCode>General</c:formatCode>
                <c:ptCount val="4"/>
                <c:pt idx="0">
                  <c:v>2</c:v>
                </c:pt>
                <c:pt idx="1">
                  <c:v>3</c:v>
                </c:pt>
                <c:pt idx="2">
                  <c:v>2</c:v>
                </c:pt>
                <c:pt idx="3">
                  <c:v>2</c:v>
                </c:pt>
              </c:numCache>
            </c:numRef>
          </c:val>
        </c:ser>
        <c:marker val="1"/>
        <c:axId val="50050001"/>
        <c:axId val="50050002"/>
      </c:lineChart>
      <c:catAx>
        <c:axId val="5005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Semanas</a:t>
                </a:r>
              </a:p>
            </c:rich>
          </c:tx>
          <c:layout/>
        </c:title>
        <c:tickLblPos val="nextTo"/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Cantidad de Tareas</a:t>
                </a:r>
              </a:p>
            </c:rich>
          </c:tx>
          <c:layout/>
        </c:title>
        <c:numFmt formatCode="General" sourceLinked="1"/>
        <c:tickLblPos val="nextTo"/>
        <c:crossAx val="5005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21</xdr:row>
      <xdr:rowOff>0</xdr:rowOff>
    </xdr:from>
    <xdr:to>
      <xdr:col>4</xdr:col>
      <xdr:colOff>666750</xdr:colOff>
      <xdr:row>36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21</xdr:row>
      <xdr:rowOff>0</xdr:rowOff>
    </xdr:from>
    <xdr:to>
      <xdr:col>8</xdr:col>
      <xdr:colOff>666750</xdr:colOff>
      <xdr:row>36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37</xdr:row>
      <xdr:rowOff>0</xdr:rowOff>
    </xdr:from>
    <xdr:to>
      <xdr:col>4</xdr:col>
      <xdr:colOff>666750</xdr:colOff>
      <xdr:row>52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0</xdr:colOff>
      <xdr:row>37</xdr:row>
      <xdr:rowOff>0</xdr:rowOff>
    </xdr:from>
    <xdr:to>
      <xdr:col>8</xdr:col>
      <xdr:colOff>666750</xdr:colOff>
      <xdr:row>52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</xdr:row>
      <xdr:rowOff>0</xdr:rowOff>
    </xdr:from>
    <xdr:to>
      <xdr:col>4</xdr:col>
      <xdr:colOff>952500</xdr:colOff>
      <xdr:row>28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E86AB"/>
  </sheetPr>
  <dimension ref="B2:I19"/>
  <sheetViews>
    <sheetView tabSelected="1" workbookViewId="0"/>
  </sheetViews>
  <sheetFormatPr defaultRowHeight="15"/>
  <cols>
    <col min="1" max="1" width="2.7109375" customWidth="1"/>
    <col min="2" max="9" width="15.7109375" customWidth="1"/>
    <col min="10" max="10" width="2.7109375" customWidth="1"/>
  </cols>
  <sheetData>
    <row r="2" spans="2:9">
      <c r="B2" s="1" t="s">
        <v>0</v>
      </c>
      <c r="C2" s="1"/>
      <c r="D2" s="1"/>
      <c r="E2" s="1"/>
      <c r="F2" s="1"/>
      <c r="G2" s="1"/>
      <c r="H2" s="1"/>
      <c r="I2" s="1"/>
    </row>
    <row r="3" spans="2:9">
      <c r="B3" s="2" t="s">
        <v>1</v>
      </c>
      <c r="C3" s="2"/>
      <c r="D3" s="2"/>
      <c r="E3" s="2"/>
      <c r="F3" s="2"/>
      <c r="G3" s="2"/>
      <c r="H3" s="2"/>
      <c r="I3" s="2"/>
    </row>
    <row r="5" spans="2:9">
      <c r="B5" s="2" t="s">
        <v>2</v>
      </c>
    </row>
    <row r="7" spans="2:9">
      <c r="B7" s="3" t="s">
        <v>3</v>
      </c>
      <c r="C7" s="3"/>
      <c r="D7" s="3" t="s">
        <v>4</v>
      </c>
      <c r="E7" s="3"/>
      <c r="F7" s="3" t="s">
        <v>5</v>
      </c>
      <c r="G7" s="3"/>
      <c r="H7" s="3" t="s">
        <v>6</v>
      </c>
      <c r="I7" s="3"/>
    </row>
    <row r="8" spans="2:9">
      <c r="B8" s="4">
        <f>SUM(Estados!B2:B4)</f>
        <v>0</v>
      </c>
      <c r="C8" s="4"/>
      <c r="D8" s="4">
        <f>Estados!B3</f>
        <v>0</v>
      </c>
      <c r="E8" s="4"/>
      <c r="F8" s="4">
        <f>Estados!B2</f>
        <v>0</v>
      </c>
      <c r="G8" s="4"/>
      <c r="H8" s="4">
        <f>Estados!B4</f>
        <v>0</v>
      </c>
      <c r="I8" s="4"/>
    </row>
    <row r="9" spans="2:9">
      <c r="B9" s="4"/>
      <c r="C9" s="4"/>
      <c r="D9" s="4"/>
      <c r="E9" s="4"/>
      <c r="F9" s="4"/>
      <c r="G9" s="4"/>
      <c r="H9" s="4"/>
      <c r="I9" s="4"/>
    </row>
    <row r="10" spans="2:9">
      <c r="D10" s="5">
        <f>Estados!B3/SUM(Estados!B2:B4)</f>
        <v>0</v>
      </c>
      <c r="E10" s="5"/>
      <c r="F10" s="5">
        <f>Estados!B2/SUM(Estados!B2:B4)</f>
        <v>0</v>
      </c>
      <c r="G10" s="5"/>
      <c r="H10" s="5">
        <f>Estados!B4/SUM(Estados!B2:B4)</f>
        <v>0</v>
      </c>
      <c r="I10" s="5"/>
    </row>
    <row r="13" spans="2:9">
      <c r="B13" s="2" t="s">
        <v>7</v>
      </c>
      <c r="F13" s="2" t="s">
        <v>15</v>
      </c>
    </row>
    <row r="15" spans="2:9">
      <c r="B15" s="6" t="s">
        <v>8</v>
      </c>
      <c r="C15" s="6" t="s">
        <v>9</v>
      </c>
      <c r="D15" s="6" t="s">
        <v>10</v>
      </c>
      <c r="F15" s="6" t="s">
        <v>16</v>
      </c>
      <c r="G15" s="6" t="s">
        <v>17</v>
      </c>
      <c r="H15" s="6" t="s">
        <v>18</v>
      </c>
      <c r="I15" s="6" t="s">
        <v>19</v>
      </c>
    </row>
    <row r="16" spans="2:9">
      <c r="B16" s="7" t="s">
        <v>11</v>
      </c>
      <c r="C16" s="8">
        <f>Prioridades!B2</f>
        <v>0</v>
      </c>
      <c r="D16" s="9">
        <f>C16/SUM($C$16:$C$18)</f>
        <v>0</v>
      </c>
      <c r="F16" s="7" t="s">
        <v>20</v>
      </c>
      <c r="G16" s="7">
        <f>Top3!A2</f>
        <v>0</v>
      </c>
      <c r="H16" s="8">
        <f>Top3!B2</f>
        <v>0</v>
      </c>
      <c r="I16" s="8">
        <f>Top3!C2</f>
        <v>0</v>
      </c>
    </row>
    <row r="17" spans="2:9">
      <c r="B17" s="7" t="s">
        <v>12</v>
      </c>
      <c r="C17" s="8">
        <f>Prioridades!B3</f>
        <v>0</v>
      </c>
      <c r="D17" s="9">
        <f>C17/SUM($C$16:$C$18)</f>
        <v>0</v>
      </c>
      <c r="F17" s="7" t="s">
        <v>21</v>
      </c>
      <c r="G17" s="7">
        <f>Top3!A3</f>
        <v>0</v>
      </c>
      <c r="H17" s="8">
        <f>Top3!B3</f>
        <v>0</v>
      </c>
      <c r="I17" s="8">
        <f>Top3!C3</f>
        <v>0</v>
      </c>
    </row>
    <row r="18" spans="2:9">
      <c r="B18" s="7" t="s">
        <v>13</v>
      </c>
      <c r="C18" s="8">
        <f>Prioridades!B4</f>
        <v>0</v>
      </c>
      <c r="D18" s="9">
        <f>C18/SUM($C$16:$C$18)</f>
        <v>0</v>
      </c>
      <c r="F18" s="7" t="s">
        <v>22</v>
      </c>
      <c r="G18" s="7">
        <f>Top3!A4</f>
        <v>0</v>
      </c>
      <c r="H18" s="8">
        <f>Top3!B4</f>
        <v>0</v>
      </c>
      <c r="I18" s="8">
        <f>Top3!C4</f>
        <v>0</v>
      </c>
    </row>
    <row r="19" spans="2:9">
      <c r="B19" s="6" t="s">
        <v>14</v>
      </c>
      <c r="C19" s="10">
        <f>SUM(C16:C18)</f>
        <v>0</v>
      </c>
      <c r="D19" s="10">
        <f>SUM(D16:D18)</f>
        <v>0</v>
      </c>
    </row>
  </sheetData>
  <mergeCells count="13">
    <mergeCell ref="B2:I2"/>
    <mergeCell ref="B3:I3"/>
    <mergeCell ref="B7:C7"/>
    <mergeCell ref="B8:C9"/>
    <mergeCell ref="D7:E7"/>
    <mergeCell ref="D8:E9"/>
    <mergeCell ref="D10:E10"/>
    <mergeCell ref="F7:G7"/>
    <mergeCell ref="F8:G9"/>
    <mergeCell ref="F10:G10"/>
    <mergeCell ref="H7:I7"/>
    <mergeCell ref="H8:I9"/>
    <mergeCell ref="H10:I1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18F01"/>
  </sheetPr>
  <dimension ref="A1:C5"/>
  <sheetViews>
    <sheetView workbookViewId="0"/>
  </sheetViews>
  <sheetFormatPr defaultRowHeight="15"/>
  <cols>
    <col min="1" max="1" width="15.7109375" customWidth="1"/>
    <col min="2" max="3" width="12.7109375" customWidth="1"/>
  </cols>
  <sheetData>
    <row r="1" spans="1:3">
      <c r="A1" s="6" t="s">
        <v>23</v>
      </c>
      <c r="B1" s="6" t="s">
        <v>9</v>
      </c>
      <c r="C1" s="6" t="s">
        <v>10</v>
      </c>
    </row>
    <row r="2" spans="1:3">
      <c r="A2" s="7" t="s">
        <v>24</v>
      </c>
      <c r="B2" s="8">
        <v>2</v>
      </c>
      <c r="C2" s="9">
        <f>B2/SUM($B$2:$B$4)</f>
        <v>0</v>
      </c>
    </row>
    <row r="3" spans="1:3">
      <c r="A3" s="7" t="s">
        <v>25</v>
      </c>
      <c r="B3" s="8">
        <v>5</v>
      </c>
      <c r="C3" s="9">
        <f>B3/SUM($B$2:$B$4)</f>
        <v>0</v>
      </c>
    </row>
    <row r="4" spans="1:3">
      <c r="A4" s="7" t="s">
        <v>26</v>
      </c>
      <c r="B4" s="8">
        <v>1</v>
      </c>
      <c r="C4" s="9">
        <f>B4/SUM($B$2:$B$4)</f>
        <v>0</v>
      </c>
    </row>
    <row r="5" spans="1:3">
      <c r="A5" s="6" t="s">
        <v>14</v>
      </c>
      <c r="B5" s="10">
        <f>SUM(B2:B4)</f>
        <v>0</v>
      </c>
      <c r="C5" s="10" t="s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A23B72"/>
  </sheetPr>
  <dimension ref="A1:C5"/>
  <sheetViews>
    <sheetView workbookViewId="0"/>
  </sheetViews>
  <sheetFormatPr defaultRowHeight="15"/>
  <cols>
    <col min="1" max="1" width="15.7109375" customWidth="1"/>
    <col min="2" max="3" width="12.7109375" customWidth="1"/>
  </cols>
  <sheetData>
    <row r="1" spans="1:3">
      <c r="A1" s="6" t="s">
        <v>8</v>
      </c>
      <c r="B1" s="6" t="s">
        <v>9</v>
      </c>
      <c r="C1" s="6" t="s">
        <v>10</v>
      </c>
    </row>
    <row r="2" spans="1:3">
      <c r="A2" s="7" t="s">
        <v>11</v>
      </c>
      <c r="B2" s="8">
        <v>3</v>
      </c>
      <c r="C2" s="9">
        <f>B2/SUM($B$2:$B$4)</f>
        <v>0</v>
      </c>
    </row>
    <row r="3" spans="1:3">
      <c r="A3" s="7" t="s">
        <v>12</v>
      </c>
      <c r="B3" s="8">
        <v>4</v>
      </c>
      <c r="C3" s="9">
        <f>B3/SUM($B$2:$B$4)</f>
        <v>0</v>
      </c>
    </row>
    <row r="4" spans="1:3">
      <c r="A4" s="7" t="s">
        <v>13</v>
      </c>
      <c r="B4" s="8">
        <v>1</v>
      </c>
      <c r="C4" s="9">
        <f>B4/SUM($B$2:$B$4)</f>
        <v>0</v>
      </c>
    </row>
    <row r="5" spans="1:3">
      <c r="A5" s="6" t="s">
        <v>14</v>
      </c>
      <c r="B5" s="10">
        <f>SUM(B2:B4)</f>
        <v>0</v>
      </c>
      <c r="C5" s="10" t="s">
        <v>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62C370"/>
  </sheetPr>
  <dimension ref="A1:D5"/>
  <sheetViews>
    <sheetView workbookViewId="0"/>
  </sheetViews>
  <sheetFormatPr defaultRowHeight="15"/>
  <cols>
    <col min="1" max="1" width="25.7109375" customWidth="1"/>
    <col min="2" max="4" width="18.7109375" customWidth="1"/>
  </cols>
  <sheetData>
    <row r="1" spans="1:4">
      <c r="A1" s="6" t="s">
        <v>17</v>
      </c>
      <c r="B1" s="6" t="s">
        <v>28</v>
      </c>
      <c r="C1" s="6" t="s">
        <v>29</v>
      </c>
      <c r="D1" s="6" t="s">
        <v>30</v>
      </c>
    </row>
    <row r="2" spans="1:4">
      <c r="A2" s="7" t="s">
        <v>31</v>
      </c>
      <c r="B2" s="8">
        <v>10</v>
      </c>
      <c r="C2" s="8">
        <v>7</v>
      </c>
      <c r="D2" s="9">
        <f>C2/B2</f>
        <v>0</v>
      </c>
    </row>
    <row r="3" spans="1:4">
      <c r="A3" s="7" t="s">
        <v>32</v>
      </c>
      <c r="B3" s="8">
        <v>5</v>
      </c>
      <c r="C3" s="8">
        <v>4</v>
      </c>
      <c r="D3" s="9">
        <f>C3/B3</f>
        <v>0</v>
      </c>
    </row>
    <row r="4" spans="1:4">
      <c r="A4" s="7" t="s">
        <v>33</v>
      </c>
      <c r="B4" s="8">
        <v>3</v>
      </c>
      <c r="C4" s="8">
        <v>2</v>
      </c>
      <c r="D4" s="9">
        <f>C4/B4</f>
        <v>0</v>
      </c>
    </row>
    <row r="5" spans="1:4">
      <c r="A5" s="6" t="s">
        <v>14</v>
      </c>
      <c r="B5" s="10">
        <f>SUM(B2:B4)</f>
        <v>0</v>
      </c>
      <c r="C5" s="10">
        <f>SUM(C2:C4)</f>
        <v>0</v>
      </c>
      <c r="D5" s="10">
        <f>C5/B5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2D3436"/>
  </sheetPr>
  <dimension ref="B2:J11"/>
  <sheetViews>
    <sheetView workbookViewId="0"/>
  </sheetViews>
  <sheetFormatPr defaultRowHeight="15"/>
  <cols>
    <col min="1" max="1" width="2.7109375" customWidth="1"/>
    <col min="2" max="2" width="25.7109375" customWidth="1"/>
    <col min="3" max="6" width="15.7109375" customWidth="1"/>
    <col min="7" max="7" width="2.7109375" customWidth="1"/>
  </cols>
  <sheetData>
    <row r="2" spans="2:10">
      <c r="B2" s="1" t="s">
        <v>34</v>
      </c>
      <c r="C2" s="1"/>
      <c r="D2" s="1"/>
      <c r="E2" s="1"/>
      <c r="F2" s="1"/>
      <c r="G2" s="1"/>
      <c r="H2" s="1"/>
      <c r="I2" s="1"/>
    </row>
    <row r="5" spans="2:10">
      <c r="B5" s="2" t="s">
        <v>35</v>
      </c>
      <c r="H5" s="2" t="s">
        <v>44</v>
      </c>
    </row>
    <row r="6" spans="2:10">
      <c r="H6" s="6" t="s">
        <v>45</v>
      </c>
      <c r="I6" s="6" t="s">
        <v>46</v>
      </c>
      <c r="J6" s="6" t="s">
        <v>47</v>
      </c>
    </row>
    <row r="7" spans="2:10">
      <c r="B7" s="6" t="s">
        <v>36</v>
      </c>
      <c r="C7" s="6" t="s">
        <v>37</v>
      </c>
      <c r="D7" s="6" t="s">
        <v>38</v>
      </c>
      <c r="E7" s="6" t="s">
        <v>39</v>
      </c>
      <c r="F7" s="6" t="s">
        <v>23</v>
      </c>
    </row>
    <row r="8" spans="2:10">
      <c r="B8" s="7" t="s">
        <v>40</v>
      </c>
      <c r="C8" s="9">
        <f>Estados!B3/SUM(Estados!B2:B4)</f>
        <v>0</v>
      </c>
      <c r="D8" s="9">
        <v>0.8</v>
      </c>
      <c r="E8" s="9">
        <f>B8-C8</f>
        <v>0</v>
      </c>
      <c r="F8" s="7">
        <f>IF(D8&gt;=0,"✅ Cumple","❌ No cumple")</f>
        <v>0</v>
      </c>
      <c r="H8" s="7" t="s">
        <v>48</v>
      </c>
      <c r="I8" s="8">
        <v>3</v>
      </c>
      <c r="J8" s="8">
        <v>2</v>
      </c>
    </row>
    <row r="9" spans="2:10">
      <c r="B9" s="7" t="s">
        <v>41</v>
      </c>
      <c r="C9" s="9">
        <f>Estados!B4/SUM(Estados!B2:B4)</f>
        <v>0</v>
      </c>
      <c r="D9" s="9">
        <v>0.1</v>
      </c>
      <c r="E9" s="9">
        <f>C9-B9</f>
        <v>0</v>
      </c>
      <c r="F9" s="7">
        <f>IF(D9&gt;=0,"✅ Cumple","❌ No cumple")</f>
        <v>0</v>
      </c>
      <c r="H9" s="7" t="s">
        <v>49</v>
      </c>
      <c r="I9" s="8">
        <v>5</v>
      </c>
      <c r="J9" s="8">
        <v>3</v>
      </c>
    </row>
    <row r="10" spans="2:10">
      <c r="B10" s="7" t="s">
        <v>42</v>
      </c>
      <c r="C10" s="9">
        <f>AVERAGE(Top3!D2:D4)</f>
        <v>0</v>
      </c>
      <c r="D10" s="9">
        <v>0.7</v>
      </c>
      <c r="E10" s="9">
        <f>B10-C10</f>
        <v>0</v>
      </c>
      <c r="F10" s="7">
        <f>IF(D10&gt;=0,"✅ Cumple","❌ No cumple")</f>
        <v>0</v>
      </c>
      <c r="H10" s="7" t="s">
        <v>50</v>
      </c>
      <c r="I10" s="8">
        <v>4</v>
      </c>
      <c r="J10" s="8">
        <v>2</v>
      </c>
    </row>
    <row r="11" spans="2:10">
      <c r="B11" s="7" t="s">
        <v>43</v>
      </c>
      <c r="C11" s="9">
        <f>Prioridades!B2/SUM(Prioridades!B2:B4)</f>
        <v>0</v>
      </c>
      <c r="D11" s="9">
        <v>0.3</v>
      </c>
      <c r="E11" s="9">
        <f>B11-C11</f>
        <v>0</v>
      </c>
      <c r="F11" s="7">
        <f>IF(ABS(D11)&lt;0.1,"✅ Balanceado","⚠️ Revisar")</f>
        <v>0</v>
      </c>
      <c r="H11" s="7" t="s">
        <v>51</v>
      </c>
      <c r="I11" s="8">
        <v>5</v>
      </c>
      <c r="J11" s="8">
        <v>2</v>
      </c>
    </row>
  </sheetData>
  <mergeCells count="1">
    <mergeCell ref="B2:I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Estados</vt:lpstr>
      <vt:lpstr>Prioridades</vt:lpstr>
      <vt:lpstr>Top3</vt:lpstr>
      <vt:lpstr>Análisis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2025-11-15T00:04:40Z</dcterms:created>
  <dcterms:modified xsi:type="dcterms:W3CDTF">2025-11-15T00:04:40Z</dcterms:modified>
</cp:coreProperties>
</file>